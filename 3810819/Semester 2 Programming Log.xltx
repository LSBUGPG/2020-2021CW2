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kus Richards\Desktop\University Work\Year 2\Paul Sinnet\Semester 2\"/>
    </mc:Choice>
  </mc:AlternateContent>
  <xr:revisionPtr revIDLastSave="0" documentId="8_{75639E4C-46D1-4D62-8120-B1053A7573C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1" i="1" l="1"/>
  <c r="H61" i="1"/>
  <c r="I61" i="1" s="1"/>
  <c r="G62" i="1"/>
  <c r="H62" i="1"/>
  <c r="I62" i="1" s="1"/>
  <c r="G63" i="1"/>
  <c r="H63" i="1" s="1"/>
  <c r="I63" i="1" s="1"/>
  <c r="G60" i="1"/>
  <c r="H60" i="1" s="1"/>
  <c r="I60" i="1" s="1"/>
  <c r="G58" i="1"/>
  <c r="H58" i="1" s="1"/>
  <c r="I58" i="1" s="1"/>
  <c r="G56" i="1"/>
  <c r="H56" i="1" s="1"/>
  <c r="I56" i="1" s="1"/>
  <c r="G57" i="1"/>
  <c r="H57" i="1" s="1"/>
  <c r="I57" i="1" s="1"/>
  <c r="G55" i="1"/>
  <c r="H55" i="1" s="1"/>
  <c r="I55" i="1" s="1"/>
  <c r="G54" i="1"/>
  <c r="H54" i="1" s="1"/>
  <c r="I54" i="1" s="1"/>
  <c r="G53" i="1"/>
  <c r="H53" i="1" s="1"/>
  <c r="I53" i="1" s="1"/>
  <c r="G51" i="1"/>
  <c r="H51" i="1" s="1"/>
  <c r="I51" i="1" s="1"/>
  <c r="G49" i="1"/>
  <c r="H49" i="1" s="1"/>
  <c r="I49" i="1" s="1"/>
  <c r="G50" i="1"/>
  <c r="H50" i="1" s="1"/>
  <c r="I50" i="1" s="1"/>
  <c r="G48" i="1"/>
  <c r="H48" i="1" s="1"/>
  <c r="I48" i="1" s="1"/>
  <c r="G47" i="1"/>
  <c r="H47" i="1" s="1"/>
  <c r="I47" i="1" s="1"/>
  <c r="G46" i="1"/>
  <c r="H46" i="1" s="1"/>
  <c r="I46" i="1" s="1"/>
  <c r="G45" i="1"/>
  <c r="H45" i="1" s="1"/>
  <c r="I45" i="1" s="1"/>
  <c r="G43" i="1" l="1"/>
  <c r="H43" i="1" s="1"/>
  <c r="I43" i="1" s="1"/>
  <c r="G41" i="1" l="1"/>
  <c r="H41" i="1" s="1"/>
  <c r="I41" i="1" s="1"/>
  <c r="G42" i="1"/>
  <c r="H42" i="1" s="1"/>
  <c r="I42" i="1" s="1"/>
  <c r="G40" i="1"/>
  <c r="H40" i="1" s="1"/>
  <c r="I40" i="1" s="1"/>
  <c r="G39" i="1"/>
  <c r="H39" i="1" s="1"/>
  <c r="I39" i="1" s="1"/>
  <c r="G36" i="1"/>
  <c r="H36" i="1" s="1"/>
  <c r="I36" i="1" s="1"/>
  <c r="G35" i="1" l="1"/>
  <c r="H35" i="1" s="1"/>
  <c r="I35" i="1" s="1"/>
  <c r="G34" i="1"/>
  <c r="H34" i="1" s="1"/>
  <c r="I34" i="1" s="1"/>
  <c r="G33" i="1"/>
  <c r="H33" i="1" s="1"/>
  <c r="I33" i="1" s="1"/>
  <c r="G12" i="1" l="1"/>
  <c r="H12" i="1" s="1"/>
  <c r="I12" i="1" s="1"/>
  <c r="G11" i="1"/>
  <c r="H11" i="1" s="1"/>
  <c r="I11" i="1" s="1"/>
  <c r="G10" i="1"/>
  <c r="H10" i="1" s="1"/>
  <c r="I10" i="1" s="1"/>
  <c r="G9" i="1"/>
  <c r="H9" i="1" s="1"/>
  <c r="I9" i="1" s="1"/>
  <c r="G25" i="1" l="1"/>
  <c r="H25" i="1" s="1"/>
  <c r="I25" i="1" s="1"/>
  <c r="G24" i="1"/>
  <c r="H24" i="1" s="1"/>
  <c r="I24" i="1" s="1"/>
  <c r="G23" i="1" l="1"/>
  <c r="H23" i="1" s="1"/>
  <c r="I23" i="1" s="1"/>
  <c r="G29" i="1" l="1"/>
  <c r="H29" i="1" s="1"/>
  <c r="I29" i="1" s="1"/>
  <c r="G28" i="1"/>
  <c r="H28" i="1" s="1"/>
  <c r="I28" i="1" s="1"/>
  <c r="G22" i="1" l="1"/>
  <c r="H22" i="1" s="1"/>
  <c r="I22" i="1" s="1"/>
  <c r="G21" i="1" l="1"/>
  <c r="H21" i="1" s="1"/>
  <c r="I21" i="1" s="1"/>
  <c r="G20" i="1"/>
  <c r="H20" i="1" s="1"/>
  <c r="I20" i="1" s="1"/>
  <c r="G8" i="1" l="1"/>
  <c r="H8" i="1" s="1"/>
  <c r="I8" i="1" s="1"/>
  <c r="G17" i="1" l="1"/>
  <c r="H17" i="1" s="1"/>
  <c r="I17" i="1" s="1"/>
  <c r="G16" i="1" l="1"/>
  <c r="H16" i="1" s="1"/>
  <c r="I16" i="1" s="1"/>
  <c r="G15" i="1"/>
  <c r="H15" i="1" s="1"/>
  <c r="I15" i="1" s="1"/>
  <c r="G7" i="1" l="1"/>
  <c r="H7" i="1" s="1"/>
  <c r="I7" i="1" s="1"/>
  <c r="G6" i="1" l="1"/>
  <c r="H6" i="1" s="1"/>
  <c r="I6" i="1" s="1"/>
  <c r="G5" i="1"/>
  <c r="H5" i="1" s="1"/>
  <c r="I5" i="1" s="1"/>
  <c r="G4" i="1"/>
  <c r="H4" i="1" s="1"/>
  <c r="I4" i="1" s="1"/>
  <c r="G3" i="1"/>
  <c r="H3" i="1" l="1"/>
  <c r="I3" i="1" s="1"/>
</calcChain>
</file>

<file path=xl/sharedStrings.xml><?xml version="1.0" encoding="utf-8"?>
<sst xmlns="http://schemas.openxmlformats.org/spreadsheetml/2006/main" count="62" uniqueCount="62">
  <si>
    <t>Date</t>
  </si>
  <si>
    <t>Task</t>
  </si>
  <si>
    <t>Start Time</t>
  </si>
  <si>
    <t>End Time</t>
  </si>
  <si>
    <t>Break Time</t>
  </si>
  <si>
    <t>Measured Time</t>
  </si>
  <si>
    <t>Percentage</t>
  </si>
  <si>
    <t>Adjusted Estimate</t>
  </si>
  <si>
    <t>Estimated Time (Hours)</t>
  </si>
  <si>
    <t>Watch videos on how to create a minimap</t>
  </si>
  <si>
    <t>Write the script for the character's movement</t>
  </si>
  <si>
    <t>Writing the script for the Minimap and seting up the external components</t>
  </si>
  <si>
    <t>Watch videos to remember how to create character's movement</t>
  </si>
  <si>
    <t>Watch videos on how to create the ammo and reload script, as well as the shooting script to work with them</t>
  </si>
  <si>
    <t>Writing the scripts for the ammo, reload and shooting</t>
  </si>
  <si>
    <t>Writing the Documentation for the Shooting &amp; Damaging Package</t>
  </si>
  <si>
    <t>Attempt to write the code so two scripts work together for the minimap Package</t>
  </si>
  <si>
    <t>Watch videos on how to make a sniper scope</t>
  </si>
  <si>
    <t>Write the script for the sniper scope</t>
  </si>
  <si>
    <t>Weapon Scope Package</t>
  </si>
  <si>
    <t>Write the Weapon Scope Documentation</t>
  </si>
  <si>
    <t>Write the Minimap Documentation on GitHub</t>
  </si>
  <si>
    <t>Minimap Package</t>
  </si>
  <si>
    <t>Watch videos on how to write the script for Third Person Camera &amp; Player Movement</t>
  </si>
  <si>
    <t>Writing the script for the Third Person Camera &amp; Player Movement</t>
  </si>
  <si>
    <t>Write the documentation for the Third Person Camera &amp; Movement Controller</t>
  </si>
  <si>
    <t>Third Person Camera &amp; Movement Controller Package (Redacted)</t>
  </si>
  <si>
    <t>Re-write the script so two scripts work together</t>
  </si>
  <si>
    <t>Re-write the documentation for the Weapon Scope Package</t>
  </si>
  <si>
    <t>Export the Weapon Scope Package</t>
  </si>
  <si>
    <t>Raycast Gun &amp; Damage Package</t>
  </si>
  <si>
    <t>Make a final attempt to get two scripts to work together</t>
  </si>
  <si>
    <t>Remove Cinemachine package</t>
  </si>
  <si>
    <t>Re-write the documentation for the Minimap Package</t>
  </si>
  <si>
    <t>Export the Minimap Package</t>
  </si>
  <si>
    <t xml:space="preserve">First Person Camera &amp; Movement Controller Package </t>
  </si>
  <si>
    <t>Watch videos on how to create scripts for a  First Person Camera &amp; Player movement</t>
  </si>
  <si>
    <t>Re-write the Third Person Camera &amp; Movement Controller scripts to accommodate it's new purpose</t>
  </si>
  <si>
    <t>Export the First Person Camera &amp; Movement Controller Package</t>
  </si>
  <si>
    <t>Come up with an idea for a small game I could make using the packages I made</t>
  </si>
  <si>
    <t>Small Game</t>
  </si>
  <si>
    <t>Import Packages I made into new project</t>
  </si>
  <si>
    <t>Combine the scripts from the other packages together</t>
  </si>
  <si>
    <t>Re-assign appropriate assets into corresponding slots</t>
  </si>
  <si>
    <t>Try to re-write the Gun script so it can do damage while zoomed in</t>
  </si>
  <si>
    <t xml:space="preserve">Try to figure out why the Gun script no longer does damage when zoomed in through the Scope script </t>
  </si>
  <si>
    <t>Look for anything that might be missing</t>
  </si>
  <si>
    <t>Re-assign the missing asssets</t>
  </si>
  <si>
    <t>Create a scoring system</t>
  </si>
  <si>
    <t>Watch videos on how to make a scoring system</t>
  </si>
  <si>
    <t>Add colors to the environment</t>
  </si>
  <si>
    <t>Edit the scoring system script so it shows how many targets there are in the map</t>
  </si>
  <si>
    <t>Create a condition where a trigger spawns so the player can win after all the targets are destroyed</t>
  </si>
  <si>
    <t>Create a condition where the player dies after touching a specific trigger</t>
  </si>
  <si>
    <t>Create UI Descriptions to explain the rules of the game</t>
  </si>
  <si>
    <t>Play Test Game</t>
  </si>
  <si>
    <t>Edit the Win and Lose scripts so the UI Elements turn off after the player wins or loses</t>
  </si>
  <si>
    <t>Figure out why the jump controls aren't working anymore</t>
  </si>
  <si>
    <t>Play test the game to make sure everything is working</t>
  </si>
  <si>
    <t>Play test the game one more time before submission</t>
  </si>
  <si>
    <t>Create a simple map for the player to move around in using Unity's 3D Assets (Postponed shortly after)</t>
  </si>
  <si>
    <t>Finish making the simple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</si>
</sst>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4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9" fontId="0" fillId="0" borderId="0" xfId="1" applyFont="1"/>
    <xf numFmtId="14" fontId="0" fillId="0" borderId="0" xfId="0" applyNumberFormat="1" applyAlignment="1"/>
    <xf numFmtId="14" fontId="1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3"/>
  <sheetViews>
    <sheetView tabSelected="1" topLeftCell="A37" workbookViewId="0">
      <selection activeCell="C46" sqref="C46"/>
    </sheetView>
  </sheetViews>
  <sheetFormatPr defaultRowHeight="14.4" x14ac:dyDescent="0.3"/>
  <cols>
    <col min="1" max="1" width="90.88671875" bestFit="1" customWidth="1"/>
    <col min="2" max="2" width="12.6640625" customWidth="1"/>
    <col min="3" max="3" width="20.77734375" bestFit="1" customWidth="1"/>
    <col min="4" max="4" width="17.44140625" customWidth="1"/>
    <col min="5" max="5" width="20.109375" bestFit="1" customWidth="1"/>
    <col min="6" max="6" width="16.6640625" customWidth="1"/>
    <col min="7" max="7" width="19.6640625" customWidth="1"/>
    <col min="8" max="8" width="14.88671875" customWidth="1"/>
    <col min="9" max="9" width="16.33203125" bestFit="1" customWidth="1"/>
  </cols>
  <sheetData>
    <row r="1" spans="1:9" x14ac:dyDescent="0.3">
      <c r="A1" s="4" t="s">
        <v>1</v>
      </c>
      <c r="B1" s="1" t="s">
        <v>0</v>
      </c>
      <c r="C1" s="1" t="s">
        <v>8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36.6" customHeight="1" x14ac:dyDescent="0.3">
      <c r="A2" s="4" t="s">
        <v>22</v>
      </c>
    </row>
    <row r="3" spans="1:9" x14ac:dyDescent="0.3">
      <c r="A3" s="6" t="s">
        <v>9</v>
      </c>
      <c r="B3" s="2">
        <v>44243</v>
      </c>
      <c r="C3" s="3">
        <v>4.1666666666666664E-2</v>
      </c>
      <c r="D3" s="3">
        <v>0.54166666666666663</v>
      </c>
      <c r="E3" s="3">
        <v>0.58333333333333337</v>
      </c>
      <c r="F3" s="3">
        <v>0</v>
      </c>
      <c r="G3" s="3">
        <f>(E3-D3-F3)</f>
        <v>4.1666666666666741E-2</v>
      </c>
      <c r="H3" s="5">
        <f>G3/C3</f>
        <v>1.0000000000000018</v>
      </c>
      <c r="I3" s="3">
        <f>C3*H3</f>
        <v>4.1666666666666741E-2</v>
      </c>
    </row>
    <row r="4" spans="1:9" x14ac:dyDescent="0.3">
      <c r="A4" s="2" t="s">
        <v>11</v>
      </c>
      <c r="B4" s="2">
        <v>44243</v>
      </c>
      <c r="C4" s="3">
        <v>6.25E-2</v>
      </c>
      <c r="D4" s="3">
        <v>0.58333333333333337</v>
      </c>
      <c r="E4" s="3">
        <v>0.71527777777777779</v>
      </c>
      <c r="F4" s="3">
        <v>2.7777777777777776E-2</v>
      </c>
      <c r="G4" s="3">
        <f>(E4-D4-F4)</f>
        <v>0.10416666666666664</v>
      </c>
      <c r="H4" s="5">
        <f>G4/C4</f>
        <v>1.6666666666666663</v>
      </c>
      <c r="I4" s="3">
        <f>C4*H4</f>
        <v>0.10416666666666664</v>
      </c>
    </row>
    <row r="5" spans="1:9" x14ac:dyDescent="0.3">
      <c r="A5" t="s">
        <v>10</v>
      </c>
      <c r="B5" s="2">
        <v>44243</v>
      </c>
      <c r="C5" s="3">
        <v>6.25E-2</v>
      </c>
      <c r="D5" s="3">
        <v>0.63888888888888895</v>
      </c>
      <c r="E5" s="3">
        <v>0.6875</v>
      </c>
      <c r="F5" s="3">
        <v>1.3888888888888888E-2</v>
      </c>
      <c r="G5" s="3">
        <f>(E5-D5-F5)</f>
        <v>3.4722222222222161E-2</v>
      </c>
      <c r="H5" s="5">
        <f>G5/C5</f>
        <v>0.55555555555555458</v>
      </c>
      <c r="I5" s="3">
        <f>C5*H5</f>
        <v>3.4722222222222161E-2</v>
      </c>
    </row>
    <row r="6" spans="1:9" x14ac:dyDescent="0.3">
      <c r="A6" s="2" t="s">
        <v>12</v>
      </c>
      <c r="B6" s="2">
        <v>44243</v>
      </c>
      <c r="C6" s="3">
        <v>2.7777777777777776E-2</v>
      </c>
      <c r="D6" s="3">
        <v>0.65625</v>
      </c>
      <c r="E6" s="3">
        <v>0.68055555555555547</v>
      </c>
      <c r="F6" s="3">
        <v>0</v>
      </c>
      <c r="G6" s="3">
        <f>(E6-D6-F6)</f>
        <v>2.4305555555555469E-2</v>
      </c>
      <c r="H6" s="5">
        <f>G6/C6</f>
        <v>0.87499999999999689</v>
      </c>
      <c r="I6" s="3">
        <f>C6*H6</f>
        <v>2.4305555555555469E-2</v>
      </c>
    </row>
    <row r="7" spans="1:9" x14ac:dyDescent="0.3">
      <c r="A7" s="2" t="s">
        <v>21</v>
      </c>
      <c r="B7" s="2">
        <v>44245</v>
      </c>
      <c r="C7" s="3">
        <v>8.3333333333333329E-2</v>
      </c>
      <c r="D7" s="3">
        <v>0.58333333333333337</v>
      </c>
      <c r="E7" s="3">
        <v>0.76388888888888884</v>
      </c>
      <c r="F7" s="3">
        <v>8.3333333333333329E-2</v>
      </c>
      <c r="G7" s="3">
        <f t="shared" ref="G7" si="0">(E7-D7-F7)</f>
        <v>9.722222222222214E-2</v>
      </c>
      <c r="H7" s="5">
        <f t="shared" ref="H7" si="1">G7/C7</f>
        <v>1.1666666666666659</v>
      </c>
      <c r="I7" s="3">
        <f t="shared" ref="I7" si="2">C7*H7</f>
        <v>9.7222222222222154E-2</v>
      </c>
    </row>
    <row r="8" spans="1:9" x14ac:dyDescent="0.3">
      <c r="A8" s="2" t="s">
        <v>16</v>
      </c>
      <c r="B8" s="2">
        <v>44253</v>
      </c>
      <c r="C8" s="3">
        <v>3.125E-2</v>
      </c>
      <c r="D8" s="3">
        <v>0.91666666666666663</v>
      </c>
      <c r="E8" s="3">
        <v>0.94444444444444453</v>
      </c>
      <c r="F8" s="3">
        <v>0</v>
      </c>
      <c r="G8" s="3">
        <f t="shared" ref="G8" si="3">(E8-D8-F8)</f>
        <v>2.7777777777777901E-2</v>
      </c>
      <c r="H8" s="5">
        <f t="shared" ref="H8" si="4">G8/C8</f>
        <v>0.88888888888889284</v>
      </c>
      <c r="I8" s="3">
        <f t="shared" ref="I8" si="5">C8*H8</f>
        <v>2.7777777777777901E-2</v>
      </c>
    </row>
    <row r="9" spans="1:9" x14ac:dyDescent="0.3">
      <c r="A9" s="2" t="s">
        <v>32</v>
      </c>
      <c r="B9" s="2">
        <v>44268</v>
      </c>
      <c r="C9" s="3">
        <v>3.472222222222222E-3</v>
      </c>
      <c r="D9" s="3">
        <v>0.83333333333333337</v>
      </c>
      <c r="E9" s="3">
        <v>0.83680555555555547</v>
      </c>
      <c r="F9" s="3">
        <v>0</v>
      </c>
      <c r="G9" s="3">
        <f t="shared" ref="G9" si="6">(E9-D9-F9)</f>
        <v>3.4722222222220989E-3</v>
      </c>
      <c r="H9" s="5">
        <f t="shared" ref="H9" si="7">G9/C9</f>
        <v>0.99999999999996447</v>
      </c>
      <c r="I9" s="3">
        <f t="shared" ref="I9" si="8">C9*H9</f>
        <v>3.4722222222220989E-3</v>
      </c>
    </row>
    <row r="10" spans="1:9" x14ac:dyDescent="0.3">
      <c r="A10" s="2" t="s">
        <v>31</v>
      </c>
      <c r="B10" s="2">
        <v>44268</v>
      </c>
      <c r="C10" s="3">
        <v>2.0833333333333332E-2</v>
      </c>
      <c r="D10" s="3">
        <v>0.84027777777777779</v>
      </c>
      <c r="E10" s="3">
        <v>0.85763888888888884</v>
      </c>
      <c r="F10" s="3">
        <v>0</v>
      </c>
      <c r="G10" s="3">
        <f t="shared" ref="G10" si="9">(E10-D10-F10)</f>
        <v>1.7361111111111049E-2</v>
      </c>
      <c r="H10" s="5">
        <f t="shared" ref="H10" si="10">G10/C10</f>
        <v>0.83333333333333037</v>
      </c>
      <c r="I10" s="3">
        <f t="shared" ref="I10" si="11">C10*H10</f>
        <v>1.7361111111111049E-2</v>
      </c>
    </row>
    <row r="11" spans="1:9" x14ac:dyDescent="0.3">
      <c r="A11" s="2" t="s">
        <v>33</v>
      </c>
      <c r="B11" s="2">
        <v>44268</v>
      </c>
      <c r="C11" s="3">
        <v>3.125E-2</v>
      </c>
      <c r="D11" s="3">
        <v>0.86805555555555547</v>
      </c>
      <c r="E11" s="3">
        <v>0.89236111111111116</v>
      </c>
      <c r="F11" s="3">
        <v>0</v>
      </c>
      <c r="G11" s="3">
        <f t="shared" ref="G11" si="12">(E11-D11-F11)</f>
        <v>2.4305555555555691E-2</v>
      </c>
      <c r="H11" s="5">
        <f t="shared" ref="H11" si="13">G11/C11</f>
        <v>0.77777777777778212</v>
      </c>
      <c r="I11" s="3">
        <f t="shared" ref="I11" si="14">C11*H11</f>
        <v>2.4305555555555691E-2</v>
      </c>
    </row>
    <row r="12" spans="1:9" x14ac:dyDescent="0.3">
      <c r="A12" s="2" t="s">
        <v>34</v>
      </c>
      <c r="B12" s="2">
        <v>44268</v>
      </c>
      <c r="C12" s="3">
        <v>3.472222222222222E-3</v>
      </c>
      <c r="D12" s="3">
        <v>0.89583333333333337</v>
      </c>
      <c r="E12" s="3">
        <v>0.89930555555555547</v>
      </c>
      <c r="F12" s="3">
        <v>0</v>
      </c>
      <c r="G12" s="3">
        <f t="shared" ref="G12" si="15">(E12-D12-F12)</f>
        <v>3.4722222222220989E-3</v>
      </c>
      <c r="H12" s="5">
        <f t="shared" ref="H12" si="16">G12/C12</f>
        <v>0.99999999999996447</v>
      </c>
      <c r="I12" s="3">
        <f t="shared" ref="I12" si="17">C12*H12</f>
        <v>3.4722222222220989E-3</v>
      </c>
    </row>
    <row r="14" spans="1:9" x14ac:dyDescent="0.3">
      <c r="A14" s="7" t="s">
        <v>30</v>
      </c>
      <c r="B14" s="3"/>
      <c r="C14" s="3"/>
      <c r="D14" s="3"/>
      <c r="E14" s="3"/>
      <c r="F14" s="3"/>
      <c r="G14" s="3"/>
      <c r="H14" s="5"/>
      <c r="I14" s="3"/>
    </row>
    <row r="15" spans="1:9" x14ac:dyDescent="0.3">
      <c r="A15" s="2" t="s">
        <v>13</v>
      </c>
      <c r="B15" s="2">
        <v>44250</v>
      </c>
      <c r="C15" s="3">
        <v>5.5555555555555552E-2</v>
      </c>
      <c r="D15" s="3">
        <v>0.54166666666666663</v>
      </c>
      <c r="E15" s="3">
        <v>0.60416666666666663</v>
      </c>
      <c r="F15" s="3">
        <v>6.9444444444444441E-3</v>
      </c>
      <c r="G15" s="3">
        <f t="shared" ref="G15" si="18">(E15-D15-F15)</f>
        <v>5.5555555555555552E-2</v>
      </c>
      <c r="H15" s="5">
        <f t="shared" ref="H15" si="19">G15/C15</f>
        <v>1</v>
      </c>
      <c r="I15" s="3">
        <f t="shared" ref="I15" si="20">C15*H15</f>
        <v>5.5555555555555552E-2</v>
      </c>
    </row>
    <row r="16" spans="1:9" x14ac:dyDescent="0.3">
      <c r="A16" s="2" t="s">
        <v>14</v>
      </c>
      <c r="B16" s="2">
        <v>44250</v>
      </c>
      <c r="C16" s="3">
        <v>8.3333333333333329E-2</v>
      </c>
      <c r="D16" s="3">
        <v>0.60416666666666663</v>
      </c>
      <c r="E16" s="3">
        <v>0.69444444444444453</v>
      </c>
      <c r="F16" s="3">
        <v>6.9444444444444441E-3</v>
      </c>
      <c r="G16" s="3">
        <f t="shared" ref="G16" si="21">(E16-D16-F16)</f>
        <v>8.3333333333333454E-2</v>
      </c>
      <c r="H16" s="5">
        <f t="shared" ref="H16" si="22">G16/C16</f>
        <v>1.0000000000000016</v>
      </c>
      <c r="I16" s="3">
        <f t="shared" ref="I16" si="23">C16*H16</f>
        <v>8.3333333333333454E-2</v>
      </c>
    </row>
    <row r="17" spans="1:9" x14ac:dyDescent="0.3">
      <c r="A17" s="2" t="s">
        <v>15</v>
      </c>
      <c r="B17" s="2">
        <v>44251</v>
      </c>
      <c r="C17" s="3">
        <v>8.3333333333333329E-2</v>
      </c>
      <c r="D17" s="3">
        <v>0.79166666666666663</v>
      </c>
      <c r="E17" s="3">
        <v>0.91666666666666663</v>
      </c>
      <c r="F17" s="3">
        <v>0</v>
      </c>
      <c r="G17" s="3">
        <f t="shared" ref="G17" si="24">(E17-D17-F17)</f>
        <v>0.125</v>
      </c>
      <c r="H17" s="5">
        <f t="shared" ref="H17" si="25">G17/C17</f>
        <v>1.5</v>
      </c>
      <c r="I17" s="3">
        <f t="shared" ref="I17" si="26">C17*H17</f>
        <v>0.125</v>
      </c>
    </row>
    <row r="19" spans="1:9" x14ac:dyDescent="0.3">
      <c r="A19" s="7" t="s">
        <v>19</v>
      </c>
    </row>
    <row r="20" spans="1:9" x14ac:dyDescent="0.3">
      <c r="A20" s="2" t="s">
        <v>17</v>
      </c>
      <c r="B20" s="2">
        <v>44257</v>
      </c>
      <c r="C20" s="3">
        <v>4.1666666666666664E-2</v>
      </c>
      <c r="D20" s="3">
        <v>0.54166666666666663</v>
      </c>
      <c r="E20" s="3">
        <v>0.59375</v>
      </c>
      <c r="F20" s="3">
        <v>1.0416666666666666E-2</v>
      </c>
      <c r="G20" s="3">
        <f t="shared" ref="G20" si="27">(E20-D20-F20)</f>
        <v>4.1666666666666706E-2</v>
      </c>
      <c r="H20" s="5">
        <f t="shared" ref="H20" si="28">G20/C20</f>
        <v>1.0000000000000011</v>
      </c>
      <c r="I20" s="3">
        <f t="shared" ref="I20" si="29">C20*H20</f>
        <v>4.1666666666666713E-2</v>
      </c>
    </row>
    <row r="21" spans="1:9" x14ac:dyDescent="0.3">
      <c r="A21" s="2" t="s">
        <v>18</v>
      </c>
      <c r="B21" s="2">
        <v>44257</v>
      </c>
      <c r="C21" s="3">
        <v>8.3333333333333329E-2</v>
      </c>
      <c r="D21" s="3">
        <v>0.59375</v>
      </c>
      <c r="E21" s="3">
        <v>0.72916666666666663</v>
      </c>
      <c r="F21" s="3">
        <v>2.0833333333333332E-2</v>
      </c>
      <c r="G21" s="3">
        <f t="shared" ref="G21" si="30">(E21-D21-F21)</f>
        <v>0.1145833333333333</v>
      </c>
      <c r="H21" s="5">
        <f t="shared" ref="H21" si="31">G21/C21</f>
        <v>1.3749999999999998</v>
      </c>
      <c r="I21" s="3">
        <f t="shared" ref="I21" si="32">C21*H21</f>
        <v>0.11458333333333331</v>
      </c>
    </row>
    <row r="22" spans="1:9" x14ac:dyDescent="0.3">
      <c r="A22" s="2" t="s">
        <v>20</v>
      </c>
      <c r="B22" s="2">
        <v>44261</v>
      </c>
      <c r="C22" s="3">
        <v>8.3333333333333329E-2</v>
      </c>
      <c r="D22" s="3">
        <v>0.83333333333333337</v>
      </c>
      <c r="E22" s="3">
        <v>0.94097222222222221</v>
      </c>
      <c r="F22" s="3">
        <v>1.7361111111111112E-2</v>
      </c>
      <c r="G22" s="3">
        <f t="shared" ref="G22" si="33">(E22-D22-F22)</f>
        <v>9.0277777777777735E-2</v>
      </c>
      <c r="H22" s="5">
        <f>G22/C22</f>
        <v>1.0833333333333328</v>
      </c>
      <c r="I22" s="3">
        <f>C22*H22</f>
        <v>9.0277777777777735E-2</v>
      </c>
    </row>
    <row r="23" spans="1:9" x14ac:dyDescent="0.3">
      <c r="A23" s="2" t="s">
        <v>27</v>
      </c>
      <c r="B23" s="2">
        <v>44264</v>
      </c>
      <c r="C23" s="3">
        <v>2.0833333333333332E-2</v>
      </c>
      <c r="D23" s="3">
        <v>0.91666666666666663</v>
      </c>
      <c r="E23" s="3">
        <v>0.93402777777777779</v>
      </c>
      <c r="F23" s="3">
        <v>0</v>
      </c>
      <c r="G23" s="3">
        <f t="shared" ref="G23" si="34">(E23-D23-F23)</f>
        <v>1.736111111111116E-2</v>
      </c>
      <c r="H23" s="5">
        <f>G23/C23</f>
        <v>0.8333333333333357</v>
      </c>
      <c r="I23" s="3">
        <f>C23*H23</f>
        <v>1.736111111111116E-2</v>
      </c>
    </row>
    <row r="24" spans="1:9" x14ac:dyDescent="0.3">
      <c r="A24" s="2" t="s">
        <v>28</v>
      </c>
      <c r="B24" s="2">
        <v>44265</v>
      </c>
      <c r="C24" s="3">
        <v>2.7777777777777776E-2</v>
      </c>
      <c r="D24" s="3">
        <v>0.9555555555555556</v>
      </c>
      <c r="E24" s="3">
        <v>0.97916666666666663</v>
      </c>
      <c r="F24" s="3">
        <v>0</v>
      </c>
      <c r="G24" s="3">
        <f t="shared" ref="G24" si="35">(E24-D24-F24)</f>
        <v>2.3611111111111027E-2</v>
      </c>
      <c r="H24" s="5">
        <f>G24/C24</f>
        <v>0.84999999999999698</v>
      </c>
      <c r="I24" s="3">
        <f>C24*H24</f>
        <v>2.3611111111111027E-2</v>
      </c>
    </row>
    <row r="25" spans="1:9" x14ac:dyDescent="0.3">
      <c r="A25" s="2" t="s">
        <v>29</v>
      </c>
      <c r="B25" s="2">
        <v>44265</v>
      </c>
      <c r="C25" s="3">
        <v>3.472222222222222E-3</v>
      </c>
      <c r="D25" s="3">
        <v>0.97986111111111107</v>
      </c>
      <c r="E25" s="3">
        <v>0.98611111111111116</v>
      </c>
      <c r="F25" s="3">
        <v>0</v>
      </c>
      <c r="G25" s="3">
        <f t="shared" ref="G25" si="36">(E25-D25-F25)</f>
        <v>6.2500000000000888E-3</v>
      </c>
      <c r="H25" s="5">
        <f>G25/C25</f>
        <v>1.8000000000000256</v>
      </c>
      <c r="I25" s="3">
        <f>C25*H25</f>
        <v>6.2500000000000888E-3</v>
      </c>
    </row>
    <row r="27" spans="1:9" x14ac:dyDescent="0.3">
      <c r="A27" s="7" t="s">
        <v>26</v>
      </c>
      <c r="C27" s="3"/>
      <c r="D27" s="3"/>
      <c r="E27" s="3"/>
      <c r="F27" s="3"/>
      <c r="G27" s="3"/>
      <c r="H27" s="5"/>
      <c r="I27" s="3"/>
    </row>
    <row r="28" spans="1:9" x14ac:dyDescent="0.3">
      <c r="A28" s="2" t="s">
        <v>23</v>
      </c>
      <c r="B28" s="2">
        <v>44264</v>
      </c>
      <c r="C28" s="3">
        <v>4.1666666666666664E-2</v>
      </c>
      <c r="D28" s="3">
        <v>0.54166666666666663</v>
      </c>
      <c r="E28" s="3">
        <v>0.58333333333333337</v>
      </c>
      <c r="F28" s="3">
        <v>0</v>
      </c>
      <c r="G28" s="3">
        <f t="shared" ref="G28" si="37">(E28-D28-F28)</f>
        <v>4.1666666666666741E-2</v>
      </c>
      <c r="H28" s="5">
        <f t="shared" ref="H28" si="38">G28/C28</f>
        <v>1.0000000000000018</v>
      </c>
      <c r="I28" s="3">
        <f t="shared" ref="I28" si="39">C28*H28</f>
        <v>4.1666666666666741E-2</v>
      </c>
    </row>
    <row r="29" spans="1:9" x14ac:dyDescent="0.3">
      <c r="A29" s="2" t="s">
        <v>24</v>
      </c>
      <c r="B29" s="2">
        <v>44264</v>
      </c>
      <c r="C29" s="3">
        <v>8.3333333333333329E-2</v>
      </c>
      <c r="D29" s="3">
        <v>0.59027777777777779</v>
      </c>
      <c r="E29" s="3">
        <v>0.66666666666666663</v>
      </c>
      <c r="F29" s="3">
        <v>6.9444444444444441E-3</v>
      </c>
      <c r="G29" s="3">
        <f t="shared" ref="G29" si="40">(E29-D29-F29)</f>
        <v>6.9444444444444392E-2</v>
      </c>
      <c r="H29" s="5">
        <f t="shared" ref="H29" si="41">G29/C29</f>
        <v>0.8333333333333327</v>
      </c>
      <c r="I29" s="3">
        <f t="shared" ref="I29" si="42">C29*H29</f>
        <v>6.9444444444444392E-2</v>
      </c>
    </row>
    <row r="30" spans="1:9" x14ac:dyDescent="0.3">
      <c r="B30" s="2"/>
      <c r="C30" s="3"/>
      <c r="D30" s="3"/>
      <c r="E30" s="3"/>
      <c r="F30" s="3"/>
      <c r="G30" s="3"/>
      <c r="H30" s="5"/>
      <c r="I30" s="3"/>
    </row>
    <row r="31" spans="1:9" x14ac:dyDescent="0.3">
      <c r="A31" s="2"/>
      <c r="B31" s="3"/>
      <c r="C31" s="3"/>
      <c r="D31" s="3"/>
      <c r="E31" s="3"/>
      <c r="F31" s="3"/>
      <c r="G31" s="3"/>
      <c r="H31" s="5"/>
      <c r="I31" s="3"/>
    </row>
    <row r="32" spans="1:9" x14ac:dyDescent="0.3">
      <c r="A32" s="7" t="s">
        <v>35</v>
      </c>
      <c r="B32" s="3"/>
      <c r="C32" s="3"/>
      <c r="D32" s="3"/>
      <c r="E32" s="3"/>
      <c r="F32" s="3"/>
      <c r="G32" s="3"/>
      <c r="H32" s="5"/>
      <c r="I32" s="3"/>
    </row>
    <row r="33" spans="1:9" x14ac:dyDescent="0.3">
      <c r="A33" s="2" t="s">
        <v>36</v>
      </c>
      <c r="B33" s="2">
        <v>44270</v>
      </c>
      <c r="C33" s="3">
        <v>1.0416666666666666E-2</v>
      </c>
      <c r="D33" s="3">
        <v>0.85416666666666663</v>
      </c>
      <c r="E33" s="3">
        <v>0.87847222222222221</v>
      </c>
      <c r="F33" s="3">
        <v>0</v>
      </c>
      <c r="G33" s="3">
        <f t="shared" ref="G33" si="43">(E33-D33-F33)</f>
        <v>2.430555555555558E-2</v>
      </c>
      <c r="H33" s="5">
        <f t="shared" ref="H33" si="44">G33/C33</f>
        <v>2.3333333333333357</v>
      </c>
      <c r="I33" s="3">
        <f t="shared" ref="I33" si="45">C33*H33</f>
        <v>2.430555555555558E-2</v>
      </c>
    </row>
    <row r="34" spans="1:9" x14ac:dyDescent="0.3">
      <c r="A34" s="2" t="s">
        <v>37</v>
      </c>
      <c r="B34" s="2">
        <v>44270</v>
      </c>
      <c r="C34" s="3">
        <v>4.1666666666666664E-2</v>
      </c>
      <c r="D34" s="3">
        <v>0.87847222222222221</v>
      </c>
      <c r="E34" s="3">
        <v>0.94097222222222221</v>
      </c>
      <c r="F34" s="3">
        <v>0</v>
      </c>
      <c r="G34" s="3">
        <f t="shared" ref="G34" si="46">(E34-D34-F34)</f>
        <v>6.25E-2</v>
      </c>
      <c r="H34" s="5">
        <f t="shared" ref="H34" si="47">G34/C34</f>
        <v>1.5</v>
      </c>
      <c r="I34" s="3">
        <f t="shared" ref="I34" si="48">C34*H34</f>
        <v>6.25E-2</v>
      </c>
    </row>
    <row r="35" spans="1:9" x14ac:dyDescent="0.3">
      <c r="A35" s="2" t="s">
        <v>25</v>
      </c>
      <c r="B35" s="2">
        <v>44270</v>
      </c>
      <c r="C35" s="3">
        <v>4.8611111111111112E-2</v>
      </c>
      <c r="D35" s="3">
        <v>0.94097222222222221</v>
      </c>
      <c r="E35" s="3">
        <v>0.99652777777777779</v>
      </c>
      <c r="F35" s="3">
        <v>0</v>
      </c>
      <c r="G35" s="3">
        <f t="shared" ref="G35" si="49">(E35-D35-F35)</f>
        <v>5.555555555555558E-2</v>
      </c>
      <c r="H35" s="5">
        <f t="shared" ref="H35" si="50">G35/C35</f>
        <v>1.1428571428571432</v>
      </c>
      <c r="I35" s="3">
        <f t="shared" ref="I35" si="51">C35*H35</f>
        <v>5.5555555555555573E-2</v>
      </c>
    </row>
    <row r="36" spans="1:9" x14ac:dyDescent="0.3">
      <c r="A36" s="2" t="s">
        <v>38</v>
      </c>
      <c r="B36" s="2">
        <v>44271</v>
      </c>
      <c r="C36" s="3">
        <v>3.472222222222222E-3</v>
      </c>
      <c r="D36" s="3">
        <v>0.5229166666666667</v>
      </c>
      <c r="E36" s="3">
        <v>0.52638888888888891</v>
      </c>
      <c r="F36" s="3">
        <v>0</v>
      </c>
      <c r="G36" s="3">
        <f t="shared" ref="G36" si="52">(E36-D36-F36)</f>
        <v>3.4722222222222099E-3</v>
      </c>
      <c r="H36" s="5">
        <f t="shared" ref="H36" si="53">G36/C36</f>
        <v>0.99999999999999645</v>
      </c>
      <c r="I36" s="3">
        <f t="shared" ref="I36" si="54">C36*H36</f>
        <v>3.4722222222222099E-3</v>
      </c>
    </row>
    <row r="37" spans="1:9" x14ac:dyDescent="0.3">
      <c r="A37" s="2"/>
      <c r="B37" s="3"/>
      <c r="C37" s="3"/>
      <c r="D37" s="3"/>
      <c r="E37" s="3"/>
      <c r="F37" s="3"/>
      <c r="G37" s="3"/>
      <c r="H37" s="5"/>
      <c r="I37" s="3"/>
    </row>
    <row r="38" spans="1:9" x14ac:dyDescent="0.3">
      <c r="A38" s="7" t="s">
        <v>40</v>
      </c>
      <c r="C38" s="3"/>
      <c r="D38" s="3"/>
      <c r="E38" s="3"/>
      <c r="F38" s="3"/>
      <c r="G38" s="3"/>
      <c r="H38" s="5"/>
      <c r="I38" s="3"/>
    </row>
    <row r="39" spans="1:9" x14ac:dyDescent="0.3">
      <c r="A39" s="2" t="s">
        <v>39</v>
      </c>
      <c r="B39" s="2">
        <v>44271</v>
      </c>
      <c r="C39" s="3">
        <v>5.5555555555555552E-2</v>
      </c>
      <c r="D39" s="3">
        <v>0.54166666666666663</v>
      </c>
      <c r="E39" s="3">
        <v>0.61111111111111105</v>
      </c>
      <c r="F39" s="3">
        <v>6.9444444444444441E-3</v>
      </c>
      <c r="G39" s="3">
        <f t="shared" ref="G39" si="55">(E39-D39-F39)</f>
        <v>6.2499999999999972E-2</v>
      </c>
      <c r="H39" s="5">
        <f t="shared" ref="H39" si="56">G39/C39</f>
        <v>1.1249999999999996</v>
      </c>
      <c r="I39" s="3">
        <f t="shared" ref="I39" si="57">C39*H39</f>
        <v>6.2499999999999972E-2</v>
      </c>
    </row>
    <row r="40" spans="1:9" x14ac:dyDescent="0.3">
      <c r="A40" s="2" t="s">
        <v>41</v>
      </c>
      <c r="B40" s="2">
        <v>44271</v>
      </c>
      <c r="C40" s="3">
        <v>3.472222222222222E-3</v>
      </c>
      <c r="D40" s="3">
        <v>0.61111111111111105</v>
      </c>
      <c r="E40" s="3">
        <v>0.61458333333333337</v>
      </c>
      <c r="F40" s="3">
        <v>0</v>
      </c>
      <c r="G40" s="3">
        <f t="shared" ref="G40" si="58">(E40-D40-F40)</f>
        <v>3.4722222222223209E-3</v>
      </c>
      <c r="H40" s="5">
        <f t="shared" ref="H40" si="59">G40/C40</f>
        <v>1.0000000000000284</v>
      </c>
      <c r="I40" s="3">
        <f t="shared" ref="I40" si="60">C40*H40</f>
        <v>3.4722222222223209E-3</v>
      </c>
    </row>
    <row r="41" spans="1:9" x14ac:dyDescent="0.3">
      <c r="A41" s="2" t="s">
        <v>42</v>
      </c>
      <c r="B41" s="2">
        <v>44271</v>
      </c>
      <c r="C41" s="3">
        <v>2.0833333333333332E-2</v>
      </c>
      <c r="D41" s="3">
        <v>0.61805555555555558</v>
      </c>
      <c r="E41" s="3">
        <v>0.65972222222222221</v>
      </c>
      <c r="F41" s="3">
        <v>1.0416666666666666E-2</v>
      </c>
      <c r="G41" s="3">
        <f t="shared" ref="G41:G42" si="61">(E41-D41-F41)</f>
        <v>3.1249999999999965E-2</v>
      </c>
      <c r="H41" s="5">
        <f t="shared" ref="H41:H42" si="62">G41/C41</f>
        <v>1.4999999999999984</v>
      </c>
      <c r="I41" s="3">
        <f t="shared" ref="I41:I42" si="63">C41*H41</f>
        <v>3.1249999999999965E-2</v>
      </c>
    </row>
    <row r="42" spans="1:9" x14ac:dyDescent="0.3">
      <c r="A42" s="2" t="s">
        <v>43</v>
      </c>
      <c r="B42" s="2">
        <v>44271</v>
      </c>
      <c r="C42" s="3">
        <v>1.0416666666666666E-2</v>
      </c>
      <c r="D42" s="3">
        <v>0.66319444444444442</v>
      </c>
      <c r="E42" s="3">
        <v>0.67361111111111116</v>
      </c>
      <c r="F42" s="3">
        <v>0</v>
      </c>
      <c r="G42" s="3">
        <f t="shared" si="61"/>
        <v>1.0416666666666741E-2</v>
      </c>
      <c r="H42" s="5">
        <f t="shared" si="62"/>
        <v>1.0000000000000071</v>
      </c>
      <c r="I42" s="3">
        <f t="shared" si="63"/>
        <v>1.0416666666666741E-2</v>
      </c>
    </row>
    <row r="43" spans="1:9" x14ac:dyDescent="0.3">
      <c r="A43" s="2" t="s">
        <v>44</v>
      </c>
      <c r="B43" s="2">
        <v>44271</v>
      </c>
      <c r="C43" s="3">
        <v>1.7361111111111112E-2</v>
      </c>
      <c r="D43" s="3">
        <v>0.67708333333333337</v>
      </c>
      <c r="E43" s="3">
        <v>0.72569444444444453</v>
      </c>
      <c r="F43" s="3">
        <v>0</v>
      </c>
      <c r="G43" s="3">
        <f t="shared" ref="G43" si="64">(E43-D43-F43)</f>
        <v>4.861111111111116E-2</v>
      </c>
      <c r="H43" s="5">
        <f t="shared" ref="H43" si="65">G43/C43</f>
        <v>2.8000000000000029</v>
      </c>
      <c r="I43" s="3">
        <f t="shared" ref="I43" si="66">C43*H43</f>
        <v>4.8611111111111167E-2</v>
      </c>
    </row>
    <row r="45" spans="1:9" x14ac:dyDescent="0.3">
      <c r="A45" s="2" t="s">
        <v>45</v>
      </c>
      <c r="B45" s="2">
        <v>44278</v>
      </c>
      <c r="C45" s="3">
        <v>2.0833333333333332E-2</v>
      </c>
      <c r="D45" s="3">
        <v>0.58333333333333337</v>
      </c>
      <c r="E45" s="3">
        <v>0.61041666666666672</v>
      </c>
      <c r="F45" s="3">
        <v>0</v>
      </c>
      <c r="G45" s="3">
        <f t="shared" ref="G45" si="67">(E45-D45-F45)</f>
        <v>2.7083333333333348E-2</v>
      </c>
      <c r="H45" s="5">
        <f t="shared" ref="H45" si="68">G45/C45</f>
        <v>1.3000000000000007</v>
      </c>
      <c r="I45" s="3">
        <f t="shared" ref="I45" si="69">C45*H45</f>
        <v>2.7083333333333348E-2</v>
      </c>
    </row>
    <row r="46" spans="1:9" x14ac:dyDescent="0.3">
      <c r="A46" s="2" t="s">
        <v>46</v>
      </c>
      <c r="B46" s="2">
        <v>44278</v>
      </c>
      <c r="C46" s="3">
        <v>1.3888888888888888E-2</v>
      </c>
      <c r="D46" s="3">
        <v>0.61111111111111105</v>
      </c>
      <c r="E46" s="3">
        <v>0.62916666666666665</v>
      </c>
      <c r="F46" s="3">
        <v>0</v>
      </c>
      <c r="G46" s="3">
        <f t="shared" ref="G46" si="70">(E46-D46-F46)</f>
        <v>1.8055555555555602E-2</v>
      </c>
      <c r="H46" s="5">
        <f t="shared" ref="H46" si="71">G46/C46</f>
        <v>1.3000000000000034</v>
      </c>
      <c r="I46" s="3">
        <f t="shared" ref="I46" si="72">C46*H46</f>
        <v>1.8055555555555602E-2</v>
      </c>
    </row>
    <row r="47" spans="1:9" x14ac:dyDescent="0.3">
      <c r="A47" s="2" t="s">
        <v>47</v>
      </c>
      <c r="B47" s="2">
        <v>44278</v>
      </c>
      <c r="C47" s="3">
        <v>1.0416666666666666E-2</v>
      </c>
      <c r="D47" s="3">
        <v>0.62986111111111109</v>
      </c>
      <c r="E47" s="3">
        <v>0.63680555555555551</v>
      </c>
      <c r="F47" s="3">
        <v>0</v>
      </c>
      <c r="G47" s="3">
        <f t="shared" ref="G47" si="73">(E47-D47-F47)</f>
        <v>6.9444444444444198E-3</v>
      </c>
      <c r="H47" s="5">
        <f t="shared" ref="H47" si="74">G47/C47</f>
        <v>0.6666666666666643</v>
      </c>
      <c r="I47" s="3">
        <f t="shared" ref="I47" si="75">C47*H47</f>
        <v>6.9444444444444198E-3</v>
      </c>
    </row>
    <row r="48" spans="1:9" x14ac:dyDescent="0.3">
      <c r="A48" s="2" t="s">
        <v>48</v>
      </c>
      <c r="B48" s="2">
        <v>44306</v>
      </c>
      <c r="C48" s="3">
        <v>3.125E-2</v>
      </c>
      <c r="D48" s="3">
        <v>0.54166666666666663</v>
      </c>
      <c r="E48" s="3">
        <v>0.625</v>
      </c>
      <c r="F48" s="3">
        <v>2.7777777777777776E-2</v>
      </c>
      <c r="G48" s="3">
        <f t="shared" ref="G48" si="76">(E48-D48-F48)</f>
        <v>5.5555555555555594E-2</v>
      </c>
      <c r="H48" s="5">
        <f t="shared" ref="H48" si="77">G48/C48</f>
        <v>1.777777777777779</v>
      </c>
      <c r="I48" s="3">
        <f t="shared" ref="I48" si="78">C48*H48</f>
        <v>5.5555555555555594E-2</v>
      </c>
    </row>
    <row r="49" spans="1:9" x14ac:dyDescent="0.3">
      <c r="A49" s="2" t="s">
        <v>49</v>
      </c>
      <c r="B49" s="2">
        <v>44306</v>
      </c>
      <c r="C49" s="3">
        <v>2.0833333333333332E-2</v>
      </c>
      <c r="D49" s="3">
        <v>0.56944444444444442</v>
      </c>
      <c r="E49" s="3">
        <v>0.59027777777777779</v>
      </c>
      <c r="F49" s="3">
        <v>3.472222222222222E-3</v>
      </c>
      <c r="G49" s="3">
        <f t="shared" ref="G49" si="79">(E49-D49-F49)</f>
        <v>1.7361111111111147E-2</v>
      </c>
      <c r="H49" s="5">
        <f t="shared" ref="H49" si="80">G49/C49</f>
        <v>0.83333333333333504</v>
      </c>
      <c r="I49" s="3">
        <f t="shared" ref="I49" si="81">C49*H49</f>
        <v>1.7361111111111147E-2</v>
      </c>
    </row>
    <row r="50" spans="1:9" x14ac:dyDescent="0.3">
      <c r="A50" s="2" t="s">
        <v>60</v>
      </c>
      <c r="B50" s="2">
        <v>44313</v>
      </c>
      <c r="C50" s="3">
        <v>1.7361111111111112E-2</v>
      </c>
      <c r="D50" s="3">
        <v>0.57986111111111105</v>
      </c>
      <c r="E50" s="3">
        <v>0.59375</v>
      </c>
      <c r="F50" s="3">
        <v>0</v>
      </c>
      <c r="G50" s="3">
        <f t="shared" ref="G50" si="82">(E50-D50-F50)</f>
        <v>1.3888888888888951E-2</v>
      </c>
      <c r="H50" s="5">
        <f t="shared" ref="H50" si="83">G50/C50</f>
        <v>0.80000000000000349</v>
      </c>
      <c r="I50" s="3">
        <f t="shared" ref="I50" si="84">C50*H50</f>
        <v>1.3888888888888951E-2</v>
      </c>
    </row>
    <row r="51" spans="1:9" x14ac:dyDescent="0.3">
      <c r="A51" s="2" t="s">
        <v>50</v>
      </c>
      <c r="B51" s="2">
        <v>44313</v>
      </c>
      <c r="C51" s="3">
        <v>3.472222222222222E-3</v>
      </c>
      <c r="D51" s="3">
        <v>0.57986111111111105</v>
      </c>
      <c r="E51" s="3">
        <v>0.58194444444444449</v>
      </c>
      <c r="F51" s="3">
        <v>0</v>
      </c>
      <c r="G51" s="3">
        <f t="shared" ref="G51" si="85">(E51-D51-F51)</f>
        <v>2.083333333333437E-3</v>
      </c>
      <c r="H51" s="5">
        <f t="shared" ref="H51" si="86">G51/C51</f>
        <v>0.60000000000002984</v>
      </c>
      <c r="I51" s="3">
        <f t="shared" ref="I51" si="87">C51*H51</f>
        <v>2.083333333333437E-3</v>
      </c>
    </row>
    <row r="53" spans="1:9" x14ac:dyDescent="0.3">
      <c r="A53" s="2" t="s">
        <v>51</v>
      </c>
      <c r="B53" s="2">
        <v>44320</v>
      </c>
      <c r="C53" s="3">
        <v>2.0833333333333332E-2</v>
      </c>
      <c r="D53" s="3">
        <v>0.66666666666666663</v>
      </c>
      <c r="E53" s="3">
        <v>0.68055555555555547</v>
      </c>
      <c r="F53" s="3">
        <v>0</v>
      </c>
      <c r="G53" s="3">
        <f t="shared" ref="G53" si="88">(E53-D53-F53)</f>
        <v>1.388888888888884E-2</v>
      </c>
      <c r="H53" s="5">
        <f t="shared" ref="H53" si="89">G53/C53</f>
        <v>0.6666666666666643</v>
      </c>
      <c r="I53" s="3">
        <f t="shared" ref="I53" si="90">C53*H53</f>
        <v>1.388888888888884E-2</v>
      </c>
    </row>
    <row r="54" spans="1:9" x14ac:dyDescent="0.3">
      <c r="A54" s="2" t="s">
        <v>52</v>
      </c>
      <c r="B54" s="2">
        <v>44332</v>
      </c>
      <c r="C54" s="3">
        <v>6.9444444444444447E-4</v>
      </c>
      <c r="D54" s="3">
        <v>0.83333333333333337</v>
      </c>
      <c r="E54" s="3">
        <v>0.8340277777777777</v>
      </c>
      <c r="F54" s="3">
        <v>0</v>
      </c>
      <c r="G54" s="3">
        <f t="shared" ref="G54" si="91">(E54-D54-F54)</f>
        <v>6.9444444444433095E-4</v>
      </c>
      <c r="H54" s="5">
        <f t="shared" ref="H54" si="92">G54/C54</f>
        <v>0.99999999999983658</v>
      </c>
      <c r="I54" s="3">
        <f t="shared" ref="I54" si="93">C54*H54</f>
        <v>6.9444444444433095E-4</v>
      </c>
    </row>
    <row r="55" spans="1:9" x14ac:dyDescent="0.3">
      <c r="A55" s="2" t="s">
        <v>53</v>
      </c>
      <c r="B55" s="2">
        <v>44332</v>
      </c>
      <c r="C55" s="3">
        <v>6.9444444444444447E-4</v>
      </c>
      <c r="D55" s="3">
        <v>0.8340277777777777</v>
      </c>
      <c r="E55" s="3">
        <v>0.83472222222222225</v>
      </c>
      <c r="F55" s="3">
        <v>0</v>
      </c>
      <c r="G55" s="3">
        <f t="shared" ref="G55" si="94">(E55-D55-F55)</f>
        <v>6.94444444444553E-4</v>
      </c>
      <c r="H55" s="5">
        <f t="shared" ref="H55" si="95">G55/C55</f>
        <v>1.0000000000001563</v>
      </c>
      <c r="I55" s="3">
        <f t="shared" ref="I55" si="96">C55*H55</f>
        <v>6.94444444444553E-4</v>
      </c>
    </row>
    <row r="56" spans="1:9" x14ac:dyDescent="0.3">
      <c r="A56" s="2" t="s">
        <v>54</v>
      </c>
      <c r="B56" s="2">
        <v>44332</v>
      </c>
      <c r="C56" s="3">
        <v>1.0416666666666666E-2</v>
      </c>
      <c r="D56" s="3">
        <v>0.83472222222222225</v>
      </c>
      <c r="E56" s="3">
        <v>0.84305555555555556</v>
      </c>
      <c r="F56" s="3">
        <v>0</v>
      </c>
      <c r="G56" s="3">
        <f t="shared" ref="G56" si="97">(E56-D56-F56)</f>
        <v>8.3333333333333037E-3</v>
      </c>
      <c r="H56" s="5">
        <f t="shared" ref="H56" si="98">G56/C56</f>
        <v>0.79999999999999716</v>
      </c>
      <c r="I56" s="3">
        <f t="shared" ref="I56" si="99">C56*H56</f>
        <v>8.3333333333333037E-3</v>
      </c>
    </row>
    <row r="57" spans="1:9" x14ac:dyDescent="0.3">
      <c r="A57" s="2" t="s">
        <v>61</v>
      </c>
      <c r="B57" s="2">
        <v>44332</v>
      </c>
      <c r="C57" s="3">
        <v>1.3888888888888888E-2</v>
      </c>
      <c r="D57" s="3">
        <v>0.84305555555555556</v>
      </c>
      <c r="E57" s="3">
        <v>0.85416666666666663</v>
      </c>
      <c r="F57" s="3">
        <v>0</v>
      </c>
      <c r="G57" s="3">
        <f t="shared" ref="G57" si="100">(E57-D57-F57)</f>
        <v>1.1111111111111072E-2</v>
      </c>
      <c r="H57" s="5">
        <f t="shared" ref="H57" si="101">G57/C57</f>
        <v>0.79999999999999716</v>
      </c>
      <c r="I57" s="3">
        <f t="shared" ref="I57" si="102">C57*H57</f>
        <v>1.1111111111111072E-2</v>
      </c>
    </row>
    <row r="58" spans="1:9" x14ac:dyDescent="0.3">
      <c r="A58" s="2" t="s">
        <v>55</v>
      </c>
      <c r="B58" s="2">
        <v>44332</v>
      </c>
      <c r="C58" s="3">
        <v>2.0833333333333333E-3</v>
      </c>
      <c r="D58" s="3">
        <v>0.85416666666666663</v>
      </c>
      <c r="E58" s="3">
        <v>0.8569444444444444</v>
      </c>
      <c r="F58" s="3">
        <v>0</v>
      </c>
      <c r="G58" s="3">
        <f t="shared" ref="G58" si="103">(E58-D58-F58)</f>
        <v>2.7777777777777679E-3</v>
      </c>
      <c r="H58" s="5">
        <f t="shared" ref="H58" si="104">G58/C58</f>
        <v>1.3333333333333286</v>
      </c>
      <c r="I58" s="3">
        <f t="shared" ref="I58" si="105">C58*H58</f>
        <v>2.7777777777777679E-3</v>
      </c>
    </row>
    <row r="59" spans="1:9" x14ac:dyDescent="0.3">
      <c r="C59" s="3"/>
      <c r="D59" s="3"/>
      <c r="E59" s="3"/>
      <c r="F59" s="3"/>
      <c r="G59" s="3"/>
      <c r="H59" s="5"/>
      <c r="I59" s="3"/>
    </row>
    <row r="60" spans="1:9" x14ac:dyDescent="0.3">
      <c r="A60" s="2" t="s">
        <v>56</v>
      </c>
      <c r="B60" s="2">
        <v>44333</v>
      </c>
      <c r="C60" s="3">
        <v>4.8611111111111112E-3</v>
      </c>
      <c r="D60" s="3">
        <v>0.83333333333333337</v>
      </c>
      <c r="E60" s="3">
        <v>0.83888888888888891</v>
      </c>
      <c r="F60" s="3">
        <v>0</v>
      </c>
      <c r="G60" s="3">
        <f t="shared" ref="G59:G60" si="106">(E60-D60-F60)</f>
        <v>5.5555555555555358E-3</v>
      </c>
      <c r="H60" s="5">
        <f t="shared" ref="H59:H60" si="107">G60/C60</f>
        <v>1.1428571428571388</v>
      </c>
      <c r="I60" s="3">
        <f t="shared" ref="I59:I60" si="108">C60*H60</f>
        <v>5.5555555555555358E-3</v>
      </c>
    </row>
    <row r="61" spans="1:9" x14ac:dyDescent="0.3">
      <c r="A61" s="2" t="s">
        <v>58</v>
      </c>
      <c r="B61" s="2">
        <v>44333</v>
      </c>
      <c r="C61" s="3">
        <v>1.3888888888888889E-3</v>
      </c>
      <c r="D61" s="3">
        <v>0.83888888888888891</v>
      </c>
      <c r="E61" s="3">
        <v>0.84027777777777779</v>
      </c>
      <c r="F61" s="3">
        <v>0</v>
      </c>
      <c r="G61" s="3">
        <f t="shared" ref="G61" si="109">(E61-D61-F61)</f>
        <v>1.388888888888884E-3</v>
      </c>
      <c r="H61" s="5">
        <f t="shared" ref="H61" si="110">G61/C61</f>
        <v>0.99999999999999645</v>
      </c>
      <c r="I61" s="3">
        <f t="shared" ref="I61" si="111">C61*H61</f>
        <v>1.388888888888884E-3</v>
      </c>
    </row>
    <row r="62" spans="1:9" x14ac:dyDescent="0.3">
      <c r="A62" s="2" t="s">
        <v>57</v>
      </c>
      <c r="B62" s="2">
        <v>44333</v>
      </c>
      <c r="C62" s="3">
        <v>6.9444444444444441E-3</v>
      </c>
      <c r="D62" s="3">
        <v>0.84027777777777779</v>
      </c>
      <c r="E62" s="3">
        <v>0.84583333333333333</v>
      </c>
      <c r="F62" s="3">
        <v>0</v>
      </c>
      <c r="G62" s="3">
        <f t="shared" ref="G62:G63" si="112">(E62-D62-F62)</f>
        <v>5.5555555555555358E-3</v>
      </c>
      <c r="H62" s="5">
        <f t="shared" ref="H62:H63" si="113">G62/C62</f>
        <v>0.79999999999999716</v>
      </c>
      <c r="I62" s="3">
        <f t="shared" ref="I62:I63" si="114">C62*H62</f>
        <v>5.5555555555555358E-3</v>
      </c>
    </row>
    <row r="63" spans="1:9" x14ac:dyDescent="0.3">
      <c r="A63" s="2" t="s">
        <v>59</v>
      </c>
      <c r="B63" s="2">
        <v>44333</v>
      </c>
      <c r="C63" s="3">
        <v>1.3888888888888889E-3</v>
      </c>
      <c r="D63" s="3">
        <v>0.84583333333333333</v>
      </c>
      <c r="E63" s="3">
        <v>0.84722222222222221</v>
      </c>
      <c r="F63" s="3">
        <v>0</v>
      </c>
      <c r="G63" s="3">
        <f t="shared" si="112"/>
        <v>1.388888888888884E-3</v>
      </c>
      <c r="H63" s="5">
        <f t="shared" si="113"/>
        <v>0.99999999999999645</v>
      </c>
      <c r="I63" s="3">
        <f t="shared" si="114"/>
        <v>1.388888888888884E-3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Lukus Richards</dc:creator>
  <cp:lastModifiedBy>Lukus Richards</cp:lastModifiedBy>
  <cp:lastPrinted>2021-05-18T00:57:54Z</cp:lastPrinted>
  <dcterms:created xsi:type="dcterms:W3CDTF">2020-10-13T09:21:46Z</dcterms:created>
  <dcterms:modified xsi:type="dcterms:W3CDTF">2021-05-18T00:59:15Z</dcterms:modified>
</cp:coreProperties>
</file>